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e" sheetId="1" r:id="rId5"/>
    <sheet state="visible" name="turret" sheetId="2" r:id="rId6"/>
    <sheet state="visible" name="monster" sheetId="3" r:id="rId7"/>
    <sheet state="visible" name="spawntable" sheetId="4" r:id="rId8"/>
    <sheet state="visible" name="shopGacha" sheetId="5" r:id="rId9"/>
  </sheets>
  <definedNames/>
  <calcPr/>
</workbook>
</file>

<file path=xl/sharedStrings.xml><?xml version="1.0" encoding="utf-8"?>
<sst xmlns="http://schemas.openxmlformats.org/spreadsheetml/2006/main" count="241" uniqueCount="110">
  <si>
    <t>DB_IGNORE</t>
  </si>
  <si>
    <t>인덱스</t>
  </si>
  <si>
    <t>DB_FIELD_NAMES</t>
  </si>
  <si>
    <t>key</t>
  </si>
  <si>
    <t>turretId</t>
  </si>
  <si>
    <t>value</t>
  </si>
  <si>
    <t>이름</t>
  </si>
  <si>
    <t>monsterId</t>
  </si>
  <si>
    <t>type</t>
  </si>
  <si>
    <t>nextTurretId</t>
  </si>
  <si>
    <t>baseHp</t>
  </si>
  <si>
    <t>isShop</t>
  </si>
  <si>
    <t>moveSpeed</t>
  </si>
  <si>
    <t>basePrice</t>
  </si>
  <si>
    <t>rewardGold</t>
  </si>
  <si>
    <t>damage</t>
  </si>
  <si>
    <t>prefabResource</t>
  </si>
  <si>
    <t>attackspeed</t>
  </si>
  <si>
    <t>range</t>
  </si>
  <si>
    <t>rangeValue</t>
  </si>
  <si>
    <t>waveGroup</t>
  </si>
  <si>
    <t>ccDuration</t>
  </si>
  <si>
    <t>ccValue</t>
  </si>
  <si>
    <t>vfxResource</t>
  </si>
  <si>
    <t>DB_FIELD_TYPES</t>
  </si>
  <si>
    <t>spawnOrder</t>
  </si>
  <si>
    <t>turretResource</t>
  </si>
  <si>
    <t>string</t>
  </si>
  <si>
    <t>float</t>
  </si>
  <si>
    <t>enum:monster</t>
  </si>
  <si>
    <t>int</t>
  </si>
  <si>
    <t>enum:turret</t>
  </si>
  <si>
    <t>bool</t>
  </si>
  <si>
    <t>NORMAL, SPEED, TANK, BOSS
Boss의 경우 CC기 절반 적용</t>
  </si>
  <si>
    <t>MELEE, DOT, STUN, SLOW, RANGED</t>
  </si>
  <si>
    <t>기본 체력</t>
  </si>
  <si>
    <t>머지했을때 변환되는 다음 터렛 인덱스
-1인 경우 최종</t>
  </si>
  <si>
    <t>이동 속도
1이 기준속도 임의로 맞춰주면 기준 알아서 맞춰서 세팅하겠습니다</t>
  </si>
  <si>
    <t>골드로 구매 가능?</t>
  </si>
  <si>
    <t>처치시 획득 골드</t>
  </si>
  <si>
    <t>가격, isShop이 True인 경우만 입력</t>
  </si>
  <si>
    <t>리소스 프리팹 명</t>
  </si>
  <si>
    <t>기준 공격력</t>
  </si>
  <si>
    <t>N초당 1회 공격</t>
  </si>
  <si>
    <t>공격 사거리, 터렛간의
간격을 1로 침
0인 경우 자신을 중심으로 좌우로 퍼뜨림</t>
  </si>
  <si>
    <t>해당 범위의 크기=&gt; range의 크기
range가 0인경우 삽입
터렛 기준으로 좌우 범위적용</t>
  </si>
  <si>
    <t>CC기 적용 시간</t>
  </si>
  <si>
    <t>prepareTimeSec</t>
  </si>
  <si>
    <t>CC기 퍼센테이지
도트인경우, 첫 데미지에서 퍼센테이지만큼 곱한값 적용</t>
  </si>
  <si>
    <t>이펙트 이미지 리소스</t>
  </si>
  <si>
    <t>최초 정비 시간(초)</t>
  </si>
  <si>
    <t>터렛 리소스</t>
  </si>
  <si>
    <t>totalWaveCount</t>
  </si>
  <si>
    <t>전체 웨이브 수</t>
  </si>
  <si>
    <t>normal1</t>
  </si>
  <si>
    <t>normal</t>
  </si>
  <si>
    <t>waveTimeSec</t>
  </si>
  <si>
    <t>웨이브당 진행 시간(초)</t>
  </si>
  <si>
    <t>turretMelee1</t>
  </si>
  <si>
    <t>wave1</t>
  </si>
  <si>
    <t>MELEE</t>
  </si>
  <si>
    <t>initialGold</t>
  </si>
  <si>
    <t>turretMelee2</t>
  </si>
  <si>
    <t>최초 지급 골드</t>
  </si>
  <si>
    <t>rerollCost</t>
  </si>
  <si>
    <t>상점 리롤 비용</t>
  </si>
  <si>
    <t>failAllowedMonster</t>
  </si>
  <si>
    <t>normal2</t>
  </si>
  <si>
    <t>허용하는 몬스터 마릿수 / 보스는 10마리로 취급함</t>
  </si>
  <si>
    <t>monsterSpawnInterval</t>
  </si>
  <si>
    <t>몬스터가 스폰할때 간격</t>
  </si>
  <si>
    <t>rerollPlusCost</t>
  </si>
  <si>
    <t>리롤 추가 값</t>
  </si>
  <si>
    <t>spawnOrderInterval</t>
  </si>
  <si>
    <t>스폰order 사이에 들어가는 초 간격</t>
  </si>
  <si>
    <t>spped1</t>
  </si>
  <si>
    <t>speed</t>
  </si>
  <si>
    <t>spped2</t>
  </si>
  <si>
    <t>turretMelee3</t>
  </si>
  <si>
    <t>tank1</t>
  </si>
  <si>
    <t>tank</t>
  </si>
  <si>
    <t>wave2</t>
  </si>
  <si>
    <t>tank2</t>
  </si>
  <si>
    <t>boss1</t>
  </si>
  <si>
    <t>boss</t>
  </si>
  <si>
    <t>turretMelee4</t>
  </si>
  <si>
    <t>wave3</t>
  </si>
  <si>
    <t>turretDot1</t>
  </si>
  <si>
    <t>DOT</t>
  </si>
  <si>
    <t>turretDot2</t>
  </si>
  <si>
    <t>turretDot3</t>
  </si>
  <si>
    <t>turretDot4</t>
  </si>
  <si>
    <t>wave4</t>
  </si>
  <si>
    <t>turretStun1</t>
  </si>
  <si>
    <t>STUN</t>
  </si>
  <si>
    <t>turretStun2</t>
  </si>
  <si>
    <t>turretStun3</t>
  </si>
  <si>
    <t>turretStun4</t>
  </si>
  <si>
    <t>turretSlow1</t>
  </si>
  <si>
    <t>SLOW</t>
  </si>
  <si>
    <t>turretSlow2</t>
  </si>
  <si>
    <t>turretSlow3</t>
  </si>
  <si>
    <t>turretSlow4</t>
  </si>
  <si>
    <t>turretRanged1</t>
  </si>
  <si>
    <t>RANGED</t>
  </si>
  <si>
    <t>turretRanged2</t>
  </si>
  <si>
    <t>turretRanged3</t>
  </si>
  <si>
    <t>turretRanged4</t>
  </si>
  <si>
    <t>turretIndex</t>
  </si>
  <si>
    <t>probability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</si>
</sst>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rgb="FF666666"/>
      <name val="Arial"/>
    </font>
    <font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0" fillId="2" fontId="2" numFmtId="0" xfId="0" applyAlignment="1" applyFont="1">
      <alignment readingOrder="0" vertical="bottom"/>
    </xf>
    <xf borderId="0" fillId="3" fontId="4" numFmtId="0" xfId="0" applyAlignment="1" applyFill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7.63"/>
  </cols>
  <sheetData>
    <row r="1">
      <c r="A1" s="1" t="s">
        <v>0</v>
      </c>
      <c r="B1" s="2"/>
      <c r="C1" s="2"/>
      <c r="D1" s="2" t="s">
        <v>0</v>
      </c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</v>
      </c>
      <c r="B3" s="6" t="s">
        <v>3</v>
      </c>
      <c r="C3" s="7" t="s">
        <v>5</v>
      </c>
      <c r="D3" s="4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" t="s">
        <v>24</v>
      </c>
      <c r="B4" s="10" t="s">
        <v>27</v>
      </c>
      <c r="C4" s="11" t="s">
        <v>28</v>
      </c>
      <c r="D4" s="12"/>
      <c r="E4" s="13"/>
      <c r="F4" s="13"/>
      <c r="G4" s="13"/>
      <c r="H4" s="13"/>
      <c r="I4" s="13"/>
      <c r="J4" s="13"/>
      <c r="K4" s="13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5" t="s">
        <v>0</v>
      </c>
      <c r="B5" s="16"/>
      <c r="C5" s="16"/>
      <c r="D5" s="17"/>
      <c r="E5" s="16"/>
      <c r="F5" s="16"/>
      <c r="G5" s="16"/>
      <c r="H5" s="16"/>
      <c r="I5" s="16"/>
      <c r="J5" s="16"/>
      <c r="K5" s="16"/>
      <c r="L5" s="1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20" t="s">
        <v>47</v>
      </c>
      <c r="C6" s="20">
        <v>20.0</v>
      </c>
      <c r="D6" s="20" t="s">
        <v>50</v>
      </c>
    </row>
    <row r="7">
      <c r="B7" s="20" t="s">
        <v>52</v>
      </c>
      <c r="C7" s="21">
        <v>4.0</v>
      </c>
      <c r="D7" s="20" t="s">
        <v>53</v>
      </c>
    </row>
    <row r="8">
      <c r="B8" s="20" t="s">
        <v>56</v>
      </c>
      <c r="C8" s="20">
        <v>50.0</v>
      </c>
      <c r="D8" s="20" t="s">
        <v>57</v>
      </c>
    </row>
    <row r="9">
      <c r="B9" s="20" t="s">
        <v>61</v>
      </c>
      <c r="C9" s="20">
        <v>100.0</v>
      </c>
      <c r="D9" s="20" t="s">
        <v>63</v>
      </c>
    </row>
    <row r="10">
      <c r="B10" s="20" t="s">
        <v>64</v>
      </c>
      <c r="C10" s="20">
        <v>10.0</v>
      </c>
      <c r="D10" s="20" t="s">
        <v>65</v>
      </c>
    </row>
    <row r="11">
      <c r="B11" s="20" t="s">
        <v>66</v>
      </c>
      <c r="C11" s="20">
        <v>0.0</v>
      </c>
      <c r="D11" s="20" t="s">
        <v>68</v>
      </c>
    </row>
    <row r="12">
      <c r="B12" s="20" t="s">
        <v>69</v>
      </c>
      <c r="C12" s="20">
        <v>0.4</v>
      </c>
      <c r="D12" s="20" t="s">
        <v>70</v>
      </c>
    </row>
    <row r="13">
      <c r="B13" s="20" t="s">
        <v>71</v>
      </c>
      <c r="C13" s="20">
        <v>5.0</v>
      </c>
      <c r="D13" s="20" t="s">
        <v>72</v>
      </c>
    </row>
    <row r="14">
      <c r="B14" s="20" t="s">
        <v>73</v>
      </c>
      <c r="C14" s="20">
        <v>0.5</v>
      </c>
      <c r="D14" s="20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30.13"/>
    <col customWidth="1" min="5" max="5" width="27.38"/>
    <col customWidth="1" min="6" max="6" width="13.63"/>
    <col customWidth="1" min="7" max="7" width="25.63"/>
    <col customWidth="1" min="10" max="11" width="28.75"/>
    <col customWidth="1" min="12" max="12" width="12.0"/>
    <col customWidth="1" min="13" max="13" width="39.0"/>
    <col customWidth="1" min="14" max="15" width="15.75"/>
  </cols>
  <sheetData>
    <row r="1">
      <c r="A1" s="1" t="s">
        <v>0</v>
      </c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</v>
      </c>
      <c r="B3" s="6" t="s">
        <v>4</v>
      </c>
      <c r="C3" s="7" t="s">
        <v>6</v>
      </c>
      <c r="D3" s="7" t="s">
        <v>8</v>
      </c>
      <c r="E3" s="8" t="s">
        <v>9</v>
      </c>
      <c r="F3" s="8" t="s">
        <v>11</v>
      </c>
      <c r="G3" s="8" t="s">
        <v>13</v>
      </c>
      <c r="H3" s="8" t="s">
        <v>15</v>
      </c>
      <c r="I3" s="8" t="s">
        <v>17</v>
      </c>
      <c r="J3" s="8" t="s">
        <v>18</v>
      </c>
      <c r="K3" s="8" t="s">
        <v>19</v>
      </c>
      <c r="L3" s="8" t="s">
        <v>21</v>
      </c>
      <c r="M3" s="8" t="s">
        <v>22</v>
      </c>
      <c r="N3" s="8" t="s">
        <v>23</v>
      </c>
      <c r="O3" s="8" t="s">
        <v>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" t="s">
        <v>24</v>
      </c>
      <c r="B4" s="10" t="s">
        <v>27</v>
      </c>
      <c r="C4" s="11"/>
      <c r="D4" s="11" t="s">
        <v>31</v>
      </c>
      <c r="E4" s="14" t="s">
        <v>27</v>
      </c>
      <c r="F4" s="14" t="s">
        <v>32</v>
      </c>
      <c r="G4" s="14" t="s">
        <v>30</v>
      </c>
      <c r="H4" s="14" t="s">
        <v>28</v>
      </c>
      <c r="I4" s="14" t="s">
        <v>28</v>
      </c>
      <c r="J4" s="14" t="s">
        <v>28</v>
      </c>
      <c r="K4" s="14" t="s">
        <v>28</v>
      </c>
      <c r="L4" s="14" t="s">
        <v>28</v>
      </c>
      <c r="M4" s="14" t="s">
        <v>28</v>
      </c>
      <c r="N4" s="14" t="s">
        <v>27</v>
      </c>
      <c r="O4" s="14" t="s">
        <v>27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5" t="s">
        <v>0</v>
      </c>
      <c r="B5" s="16"/>
      <c r="C5" s="16"/>
      <c r="D5" s="18" t="s">
        <v>34</v>
      </c>
      <c r="E5" s="19" t="s">
        <v>36</v>
      </c>
      <c r="F5" s="19" t="s">
        <v>38</v>
      </c>
      <c r="G5" s="19" t="s">
        <v>40</v>
      </c>
      <c r="H5" s="19" t="s">
        <v>42</v>
      </c>
      <c r="I5" s="19" t="s">
        <v>43</v>
      </c>
      <c r="J5" s="19" t="s">
        <v>44</v>
      </c>
      <c r="K5" s="19" t="s">
        <v>45</v>
      </c>
      <c r="L5" s="19" t="s">
        <v>46</v>
      </c>
      <c r="M5" s="19" t="s">
        <v>48</v>
      </c>
      <c r="N5" s="19" t="s">
        <v>49</v>
      </c>
      <c r="O5" s="19" t="s">
        <v>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20" t="s">
        <v>58</v>
      </c>
      <c r="D6" s="20" t="s">
        <v>60</v>
      </c>
      <c r="E6" s="20" t="s">
        <v>62</v>
      </c>
      <c r="F6" s="20" t="b">
        <v>1</v>
      </c>
      <c r="G6" s="20">
        <v>10.0</v>
      </c>
      <c r="H6" s="20">
        <v>10.0</v>
      </c>
      <c r="I6" s="20">
        <v>1.0</v>
      </c>
      <c r="J6" s="20">
        <v>0.2</v>
      </c>
      <c r="N6" s="22" t="str">
        <f>"vfx_"&amp;$B6</f>
        <v>vfx_turretMelee1</v>
      </c>
      <c r="O6" s="22" t="str">
        <f t="shared" ref="O6:O25" si="1">"resource_"&amp;$B6</f>
        <v>resource_turretMelee1</v>
      </c>
    </row>
    <row r="7">
      <c r="B7" s="20" t="s">
        <v>62</v>
      </c>
      <c r="D7" s="20" t="s">
        <v>60</v>
      </c>
      <c r="E7" s="20" t="s">
        <v>78</v>
      </c>
      <c r="F7" s="20" t="b">
        <v>0</v>
      </c>
      <c r="G7" s="20">
        <v>-1.0</v>
      </c>
      <c r="H7" s="20">
        <v>20.0</v>
      </c>
      <c r="I7" s="20">
        <v>1.2</v>
      </c>
      <c r="J7" s="20">
        <v>0.2</v>
      </c>
      <c r="N7" s="22" t="str">
        <f t="shared" ref="N7:N25" si="2">"vfx_"&amp;B7</f>
        <v>vfx_turretMelee2</v>
      </c>
      <c r="O7" s="22" t="str">
        <f t="shared" si="1"/>
        <v>resource_turretMelee2</v>
      </c>
    </row>
    <row r="8">
      <c r="B8" s="20" t="s">
        <v>78</v>
      </c>
      <c r="D8" s="20" t="s">
        <v>60</v>
      </c>
      <c r="E8" s="20" t="s">
        <v>85</v>
      </c>
      <c r="F8" s="20" t="b">
        <v>0</v>
      </c>
      <c r="G8" s="20">
        <v>-1.0</v>
      </c>
      <c r="H8" s="20">
        <v>30.0</v>
      </c>
      <c r="I8" s="20">
        <v>1.3</v>
      </c>
      <c r="J8" s="20">
        <v>0.2</v>
      </c>
      <c r="N8" s="22" t="str">
        <f t="shared" si="2"/>
        <v>vfx_turretMelee3</v>
      </c>
      <c r="O8" s="22" t="str">
        <f t="shared" si="1"/>
        <v>resource_turretMelee3</v>
      </c>
    </row>
    <row r="9">
      <c r="B9" s="20" t="s">
        <v>85</v>
      </c>
      <c r="D9" s="20" t="s">
        <v>60</v>
      </c>
      <c r="E9" s="20">
        <v>-1.0</v>
      </c>
      <c r="F9" s="20" t="b">
        <v>0</v>
      </c>
      <c r="G9" s="20">
        <v>-1.0</v>
      </c>
      <c r="H9" s="20">
        <v>40.0</v>
      </c>
      <c r="I9" s="20">
        <v>1.4</v>
      </c>
      <c r="J9" s="20">
        <v>0.2</v>
      </c>
      <c r="N9" s="22" t="str">
        <f t="shared" si="2"/>
        <v>vfx_turretMelee4</v>
      </c>
      <c r="O9" s="22" t="str">
        <f t="shared" si="1"/>
        <v>resource_turretMelee4</v>
      </c>
    </row>
    <row r="10">
      <c r="B10" s="20" t="s">
        <v>87</v>
      </c>
      <c r="D10" s="20" t="s">
        <v>88</v>
      </c>
      <c r="E10" s="20" t="s">
        <v>89</v>
      </c>
      <c r="F10" s="20" t="b">
        <v>1</v>
      </c>
      <c r="G10" s="20">
        <v>20.0</v>
      </c>
      <c r="H10" s="20">
        <v>50.0</v>
      </c>
      <c r="I10" s="20">
        <v>1.0</v>
      </c>
      <c r="J10" s="20">
        <v>0.2</v>
      </c>
      <c r="K10" s="20">
        <v>1.5</v>
      </c>
      <c r="L10" s="20">
        <v>10.0</v>
      </c>
      <c r="M10" s="23">
        <v>0.5</v>
      </c>
      <c r="N10" s="22" t="str">
        <f t="shared" si="2"/>
        <v>vfx_turretDot1</v>
      </c>
      <c r="O10" s="22" t="str">
        <f t="shared" si="1"/>
        <v>resource_turretDot1</v>
      </c>
    </row>
    <row r="11">
      <c r="B11" s="20" t="s">
        <v>89</v>
      </c>
      <c r="D11" s="20" t="s">
        <v>88</v>
      </c>
      <c r="E11" s="20" t="s">
        <v>90</v>
      </c>
      <c r="F11" s="20" t="b">
        <v>0</v>
      </c>
      <c r="G11" s="20">
        <v>-1.0</v>
      </c>
      <c r="H11" s="20">
        <v>60.0</v>
      </c>
      <c r="I11" s="20">
        <v>1.0</v>
      </c>
      <c r="J11" s="20">
        <v>0.2</v>
      </c>
      <c r="K11" s="20">
        <v>1.5</v>
      </c>
      <c r="L11" s="20">
        <v>10.0</v>
      </c>
      <c r="M11" s="23">
        <v>0.6</v>
      </c>
      <c r="N11" s="22" t="str">
        <f t="shared" si="2"/>
        <v>vfx_turretDot2</v>
      </c>
      <c r="O11" s="22" t="str">
        <f t="shared" si="1"/>
        <v>resource_turretDot2</v>
      </c>
    </row>
    <row r="12">
      <c r="B12" s="20" t="s">
        <v>90</v>
      </c>
      <c r="D12" s="20" t="s">
        <v>88</v>
      </c>
      <c r="E12" s="20" t="s">
        <v>91</v>
      </c>
      <c r="F12" s="20" t="b">
        <v>0</v>
      </c>
      <c r="G12" s="20">
        <v>-1.0</v>
      </c>
      <c r="H12" s="20">
        <v>70.0</v>
      </c>
      <c r="I12" s="20">
        <v>1.0</v>
      </c>
      <c r="J12" s="20">
        <v>0.2</v>
      </c>
      <c r="K12" s="20">
        <v>1.5</v>
      </c>
      <c r="L12" s="20">
        <v>10.0</v>
      </c>
      <c r="M12" s="23">
        <v>0.7</v>
      </c>
      <c r="N12" s="22" t="str">
        <f t="shared" si="2"/>
        <v>vfx_turretDot3</v>
      </c>
      <c r="O12" s="22" t="str">
        <f t="shared" si="1"/>
        <v>resource_turretDot3</v>
      </c>
    </row>
    <row r="13">
      <c r="B13" s="20" t="s">
        <v>91</v>
      </c>
      <c r="D13" s="20" t="s">
        <v>88</v>
      </c>
      <c r="E13" s="20">
        <v>-1.0</v>
      </c>
      <c r="F13" s="20" t="b">
        <v>0</v>
      </c>
      <c r="G13" s="20">
        <v>-1.0</v>
      </c>
      <c r="H13" s="20">
        <v>80.0</v>
      </c>
      <c r="I13" s="20">
        <v>1.0</v>
      </c>
      <c r="J13" s="20">
        <v>0.2</v>
      </c>
      <c r="K13" s="20">
        <v>1.5</v>
      </c>
      <c r="L13" s="20">
        <v>10.0</v>
      </c>
      <c r="M13" s="23">
        <v>0.8</v>
      </c>
      <c r="N13" s="22" t="str">
        <f t="shared" si="2"/>
        <v>vfx_turretDot4</v>
      </c>
      <c r="O13" s="22" t="str">
        <f t="shared" si="1"/>
        <v>resource_turretDot4</v>
      </c>
    </row>
    <row r="14">
      <c r="B14" s="20" t="s">
        <v>93</v>
      </c>
      <c r="D14" s="20" t="s">
        <v>94</v>
      </c>
      <c r="E14" s="20" t="s">
        <v>95</v>
      </c>
      <c r="F14" s="20" t="b">
        <v>1</v>
      </c>
      <c r="G14" s="20">
        <v>10.0</v>
      </c>
      <c r="H14" s="20">
        <v>10.0</v>
      </c>
      <c r="I14" s="20">
        <v>5.0</v>
      </c>
      <c r="J14" s="20">
        <v>2.0</v>
      </c>
      <c r="K14" s="20">
        <v>2.2</v>
      </c>
      <c r="L14" s="20">
        <v>2.0</v>
      </c>
      <c r="M14" s="23">
        <v>1.0</v>
      </c>
      <c r="N14" s="22" t="str">
        <f t="shared" si="2"/>
        <v>vfx_turretStun1</v>
      </c>
      <c r="O14" s="22" t="str">
        <f t="shared" si="1"/>
        <v>resource_turretStun1</v>
      </c>
    </row>
    <row r="15">
      <c r="B15" s="20" t="s">
        <v>95</v>
      </c>
      <c r="D15" s="20" t="s">
        <v>94</v>
      </c>
      <c r="E15" s="20" t="s">
        <v>96</v>
      </c>
      <c r="F15" s="20" t="b">
        <v>0</v>
      </c>
      <c r="G15" s="20">
        <v>-1.0</v>
      </c>
      <c r="H15" s="20">
        <v>20.0</v>
      </c>
      <c r="I15" s="20">
        <v>5.0</v>
      </c>
      <c r="J15" s="20">
        <v>2.0</v>
      </c>
      <c r="K15" s="20">
        <v>2.2</v>
      </c>
      <c r="L15" s="20">
        <v>2.0</v>
      </c>
      <c r="M15" s="23">
        <v>1.0</v>
      </c>
      <c r="N15" s="22" t="str">
        <f t="shared" si="2"/>
        <v>vfx_turretStun2</v>
      </c>
      <c r="O15" s="22" t="str">
        <f t="shared" si="1"/>
        <v>resource_turretStun2</v>
      </c>
    </row>
    <row r="16">
      <c r="B16" s="20" t="s">
        <v>96</v>
      </c>
      <c r="D16" s="20" t="s">
        <v>94</v>
      </c>
      <c r="E16" s="20" t="s">
        <v>97</v>
      </c>
      <c r="F16" s="20" t="b">
        <v>0</v>
      </c>
      <c r="G16" s="20">
        <v>-1.0</v>
      </c>
      <c r="H16" s="20">
        <v>30.0</v>
      </c>
      <c r="I16" s="20">
        <v>5.0</v>
      </c>
      <c r="J16" s="20">
        <v>2.0</v>
      </c>
      <c r="K16" s="20">
        <v>2.2</v>
      </c>
      <c r="L16" s="20">
        <v>2.0</v>
      </c>
      <c r="M16" s="23">
        <v>1.0</v>
      </c>
      <c r="N16" s="22" t="str">
        <f t="shared" si="2"/>
        <v>vfx_turretStun3</v>
      </c>
      <c r="O16" s="22" t="str">
        <f t="shared" si="1"/>
        <v>resource_turretStun3</v>
      </c>
    </row>
    <row r="17">
      <c r="B17" s="20" t="s">
        <v>97</v>
      </c>
      <c r="D17" s="20" t="s">
        <v>94</v>
      </c>
      <c r="E17" s="20">
        <v>-1.0</v>
      </c>
      <c r="F17" s="20" t="b">
        <v>0</v>
      </c>
      <c r="G17" s="20">
        <v>-1.0</v>
      </c>
      <c r="H17" s="20">
        <v>40.0</v>
      </c>
      <c r="I17" s="20">
        <v>5.0</v>
      </c>
      <c r="J17" s="20">
        <v>2.0</v>
      </c>
      <c r="K17" s="20">
        <v>2.2</v>
      </c>
      <c r="L17" s="20">
        <v>2.0</v>
      </c>
      <c r="M17" s="23">
        <v>1.0</v>
      </c>
      <c r="N17" s="22" t="str">
        <f t="shared" si="2"/>
        <v>vfx_turretStun4</v>
      </c>
      <c r="O17" s="22" t="str">
        <f t="shared" si="1"/>
        <v>resource_turretStun4</v>
      </c>
    </row>
    <row r="18">
      <c r="B18" s="20" t="s">
        <v>98</v>
      </c>
      <c r="D18" s="20" t="s">
        <v>99</v>
      </c>
      <c r="E18" s="20" t="s">
        <v>100</v>
      </c>
      <c r="F18" s="20" t="b">
        <v>1</v>
      </c>
      <c r="G18" s="20">
        <v>30.0</v>
      </c>
      <c r="H18" s="20">
        <v>90.0</v>
      </c>
      <c r="I18" s="20">
        <v>4.0</v>
      </c>
      <c r="J18" s="20">
        <v>2.0</v>
      </c>
      <c r="K18" s="20">
        <v>1.2</v>
      </c>
      <c r="L18" s="20">
        <v>4.0</v>
      </c>
      <c r="M18" s="23">
        <v>0.4</v>
      </c>
      <c r="N18" s="22" t="str">
        <f t="shared" si="2"/>
        <v>vfx_turretSlow1</v>
      </c>
      <c r="O18" s="22" t="str">
        <f t="shared" si="1"/>
        <v>resource_turretSlow1</v>
      </c>
    </row>
    <row r="19">
      <c r="B19" s="20" t="s">
        <v>100</v>
      </c>
      <c r="D19" s="20" t="s">
        <v>99</v>
      </c>
      <c r="E19" s="20" t="s">
        <v>101</v>
      </c>
      <c r="F19" s="20" t="b">
        <v>0</v>
      </c>
      <c r="G19" s="20">
        <v>-1.0</v>
      </c>
      <c r="H19" s="20">
        <v>100.0</v>
      </c>
      <c r="I19" s="20">
        <v>4.0</v>
      </c>
      <c r="J19" s="20">
        <v>2.0</v>
      </c>
      <c r="K19" s="20">
        <v>1.2</v>
      </c>
      <c r="L19" s="20">
        <v>4.0</v>
      </c>
      <c r="M19" s="23">
        <v>0.5</v>
      </c>
      <c r="N19" s="22" t="str">
        <f t="shared" si="2"/>
        <v>vfx_turretSlow2</v>
      </c>
      <c r="O19" s="22" t="str">
        <f t="shared" si="1"/>
        <v>resource_turretSlow2</v>
      </c>
    </row>
    <row r="20">
      <c r="B20" s="20" t="s">
        <v>101</v>
      </c>
      <c r="D20" s="20" t="s">
        <v>99</v>
      </c>
      <c r="E20" s="20" t="s">
        <v>102</v>
      </c>
      <c r="F20" s="20" t="b">
        <v>0</v>
      </c>
      <c r="G20" s="20">
        <v>-1.0</v>
      </c>
      <c r="H20" s="20">
        <v>110.0</v>
      </c>
      <c r="I20" s="20">
        <v>4.0</v>
      </c>
      <c r="J20" s="20">
        <v>2.0</v>
      </c>
      <c r="K20" s="20">
        <v>1.2</v>
      </c>
      <c r="L20" s="20">
        <v>4.0</v>
      </c>
      <c r="M20" s="23">
        <v>0.6</v>
      </c>
      <c r="N20" s="22" t="str">
        <f t="shared" si="2"/>
        <v>vfx_turretSlow3</v>
      </c>
      <c r="O20" s="22" t="str">
        <f t="shared" si="1"/>
        <v>resource_turretSlow3</v>
      </c>
    </row>
    <row r="21">
      <c r="B21" s="20" t="s">
        <v>102</v>
      </c>
      <c r="D21" s="20" t="s">
        <v>99</v>
      </c>
      <c r="E21" s="20">
        <v>-1.0</v>
      </c>
      <c r="F21" s="20" t="b">
        <v>0</v>
      </c>
      <c r="G21" s="20">
        <v>-1.0</v>
      </c>
      <c r="H21" s="20">
        <v>120.0</v>
      </c>
      <c r="I21" s="20">
        <v>4.0</v>
      </c>
      <c r="J21" s="20">
        <v>2.0</v>
      </c>
      <c r="K21" s="20">
        <v>1.2</v>
      </c>
      <c r="L21" s="20">
        <v>4.0</v>
      </c>
      <c r="M21" s="23">
        <v>0.7</v>
      </c>
      <c r="N21" s="22" t="str">
        <f t="shared" si="2"/>
        <v>vfx_turretSlow4</v>
      </c>
      <c r="O21" s="22" t="str">
        <f t="shared" si="1"/>
        <v>resource_turretSlow4</v>
      </c>
    </row>
    <row r="22">
      <c r="B22" s="20" t="s">
        <v>103</v>
      </c>
      <c r="D22" s="20" t="s">
        <v>104</v>
      </c>
      <c r="E22" s="20" t="s">
        <v>105</v>
      </c>
      <c r="F22" s="20" t="b">
        <v>1</v>
      </c>
      <c r="G22" s="20">
        <v>40.0</v>
      </c>
      <c r="H22" s="20">
        <v>10.0</v>
      </c>
      <c r="I22" s="20">
        <v>0.5</v>
      </c>
      <c r="J22" s="20">
        <v>2.0</v>
      </c>
      <c r="N22" s="22" t="str">
        <f t="shared" si="2"/>
        <v>vfx_turretRanged1</v>
      </c>
      <c r="O22" s="22" t="str">
        <f t="shared" si="1"/>
        <v>resource_turretRanged1</v>
      </c>
    </row>
    <row r="23">
      <c r="B23" s="20" t="s">
        <v>105</v>
      </c>
      <c r="D23" s="20" t="s">
        <v>104</v>
      </c>
      <c r="E23" s="20" t="s">
        <v>106</v>
      </c>
      <c r="F23" s="20" t="b">
        <v>0</v>
      </c>
      <c r="G23" s="20">
        <v>-1.0</v>
      </c>
      <c r="H23" s="20">
        <v>20.0</v>
      </c>
      <c r="I23" s="20">
        <v>0.5</v>
      </c>
      <c r="J23" s="20">
        <v>2.0</v>
      </c>
      <c r="N23" s="22" t="str">
        <f t="shared" si="2"/>
        <v>vfx_turretRanged2</v>
      </c>
      <c r="O23" s="22" t="str">
        <f t="shared" si="1"/>
        <v>resource_turretRanged2</v>
      </c>
    </row>
    <row r="24">
      <c r="B24" s="20" t="s">
        <v>106</v>
      </c>
      <c r="D24" s="20" t="s">
        <v>104</v>
      </c>
      <c r="E24" s="20" t="s">
        <v>107</v>
      </c>
      <c r="F24" s="20" t="b">
        <v>0</v>
      </c>
      <c r="G24" s="20">
        <v>-1.0</v>
      </c>
      <c r="H24" s="20">
        <v>30.0</v>
      </c>
      <c r="I24" s="20">
        <v>0.5</v>
      </c>
      <c r="J24" s="20">
        <v>2.0</v>
      </c>
      <c r="N24" s="22" t="str">
        <f t="shared" si="2"/>
        <v>vfx_turretRanged3</v>
      </c>
      <c r="O24" s="22" t="str">
        <f t="shared" si="1"/>
        <v>resource_turretRanged3</v>
      </c>
    </row>
    <row r="25">
      <c r="B25" s="20" t="s">
        <v>107</v>
      </c>
      <c r="D25" s="20" t="s">
        <v>104</v>
      </c>
      <c r="E25" s="20">
        <v>-1.0</v>
      </c>
      <c r="F25" s="20" t="b">
        <v>0</v>
      </c>
      <c r="G25" s="20">
        <v>-1.0</v>
      </c>
      <c r="H25" s="20">
        <v>40.0</v>
      </c>
      <c r="I25" s="20">
        <v>0.5</v>
      </c>
      <c r="J25" s="20">
        <v>2.0</v>
      </c>
      <c r="N25" s="22" t="str">
        <f t="shared" si="2"/>
        <v>vfx_turretRanged4</v>
      </c>
      <c r="O25" s="22" t="str">
        <f t="shared" si="1"/>
        <v>resource_turretRanged4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30.13"/>
    <col customWidth="1" min="6" max="6" width="46.5"/>
  </cols>
  <sheetData>
    <row r="1">
      <c r="A1" s="1" t="s">
        <v>0</v>
      </c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</v>
      </c>
      <c r="B3" s="6" t="s">
        <v>7</v>
      </c>
      <c r="C3" s="7" t="s">
        <v>6</v>
      </c>
      <c r="D3" s="7" t="s">
        <v>8</v>
      </c>
      <c r="E3" s="8" t="s">
        <v>10</v>
      </c>
      <c r="F3" s="8" t="s">
        <v>12</v>
      </c>
      <c r="G3" s="8" t="s">
        <v>14</v>
      </c>
      <c r="H3" s="8" t="s">
        <v>16</v>
      </c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" t="s">
        <v>24</v>
      </c>
      <c r="B4" s="10" t="s">
        <v>27</v>
      </c>
      <c r="C4" s="11"/>
      <c r="D4" s="11" t="s">
        <v>29</v>
      </c>
      <c r="E4" s="14" t="s">
        <v>30</v>
      </c>
      <c r="F4" s="14" t="s">
        <v>28</v>
      </c>
      <c r="G4" s="14" t="s">
        <v>30</v>
      </c>
      <c r="H4" s="14" t="s">
        <v>27</v>
      </c>
      <c r="I4" s="13"/>
      <c r="J4" s="13"/>
      <c r="K4" s="13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5" t="s">
        <v>0</v>
      </c>
      <c r="B5" s="16"/>
      <c r="C5" s="16"/>
      <c r="D5" s="18" t="s">
        <v>33</v>
      </c>
      <c r="E5" s="19" t="s">
        <v>35</v>
      </c>
      <c r="F5" s="19" t="s">
        <v>37</v>
      </c>
      <c r="G5" s="19" t="s">
        <v>39</v>
      </c>
      <c r="H5" s="19" t="s">
        <v>41</v>
      </c>
      <c r="I5" s="16"/>
      <c r="J5" s="16"/>
      <c r="K5" s="16"/>
      <c r="L5" s="1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20" t="s">
        <v>54</v>
      </c>
      <c r="D6" s="20" t="s">
        <v>55</v>
      </c>
      <c r="E6" s="20">
        <v>100.0</v>
      </c>
      <c r="F6" s="20">
        <v>1.0</v>
      </c>
      <c r="G6" s="20">
        <v>1.0</v>
      </c>
      <c r="H6" s="22" t="str">
        <f t="shared" ref="H6:H12" si="1">"prefab_"&amp;B6</f>
        <v>prefab_normal1</v>
      </c>
    </row>
    <row r="7">
      <c r="B7" s="20" t="s">
        <v>67</v>
      </c>
      <c r="D7" s="20" t="s">
        <v>55</v>
      </c>
      <c r="E7" s="20">
        <v>110.0</v>
      </c>
      <c r="F7" s="20">
        <v>1.0</v>
      </c>
      <c r="G7" s="20">
        <v>1.0</v>
      </c>
      <c r="H7" s="22" t="str">
        <f t="shared" si="1"/>
        <v>prefab_normal2</v>
      </c>
    </row>
    <row r="8">
      <c r="B8" s="20" t="s">
        <v>75</v>
      </c>
      <c r="D8" s="20" t="s">
        <v>76</v>
      </c>
      <c r="E8" s="20">
        <v>50.0</v>
      </c>
      <c r="F8" s="20">
        <v>2.0</v>
      </c>
      <c r="G8" s="20">
        <v>2.0</v>
      </c>
      <c r="H8" s="22" t="str">
        <f t="shared" si="1"/>
        <v>prefab_spped1</v>
      </c>
    </row>
    <row r="9">
      <c r="B9" s="20" t="s">
        <v>77</v>
      </c>
      <c r="D9" s="20" t="s">
        <v>76</v>
      </c>
      <c r="E9" s="20">
        <v>55.0</v>
      </c>
      <c r="F9" s="20">
        <v>2.0</v>
      </c>
      <c r="G9" s="20">
        <v>2.0</v>
      </c>
      <c r="H9" s="22" t="str">
        <f t="shared" si="1"/>
        <v>prefab_spped2</v>
      </c>
    </row>
    <row r="10">
      <c r="B10" s="20" t="s">
        <v>79</v>
      </c>
      <c r="D10" s="20" t="s">
        <v>80</v>
      </c>
      <c r="E10" s="20">
        <v>200.0</v>
      </c>
      <c r="F10" s="20">
        <v>0.5</v>
      </c>
      <c r="G10" s="20">
        <v>3.0</v>
      </c>
      <c r="H10" s="22" t="str">
        <f t="shared" si="1"/>
        <v>prefab_tank1</v>
      </c>
    </row>
    <row r="11">
      <c r="B11" s="20" t="s">
        <v>82</v>
      </c>
      <c r="D11" s="20" t="s">
        <v>80</v>
      </c>
      <c r="E11" s="20">
        <v>220.0</v>
      </c>
      <c r="F11" s="20">
        <v>0.5</v>
      </c>
      <c r="G11" s="20">
        <v>3.0</v>
      </c>
      <c r="H11" s="22" t="str">
        <f t="shared" si="1"/>
        <v>prefab_tank2</v>
      </c>
    </row>
    <row r="12">
      <c r="B12" s="20" t="s">
        <v>83</v>
      </c>
      <c r="D12" s="20" t="s">
        <v>84</v>
      </c>
      <c r="E12" s="20">
        <v>500.0</v>
      </c>
      <c r="F12" s="20">
        <v>1.0</v>
      </c>
      <c r="G12" s="20">
        <v>555555.0</v>
      </c>
      <c r="H12" s="22" t="str">
        <f t="shared" si="1"/>
        <v>prefab_boss1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7.63"/>
    <col customWidth="1" min="6" max="6" width="46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0</v>
      </c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</v>
      </c>
      <c r="B3" s="6" t="s">
        <v>20</v>
      </c>
      <c r="C3" s="7" t="s">
        <v>7</v>
      </c>
      <c r="D3" s="7" t="s">
        <v>25</v>
      </c>
      <c r="E3" s="7" t="s">
        <v>5</v>
      </c>
      <c r="F3" s="8"/>
      <c r="G3" s="8"/>
      <c r="H3" s="8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9" t="s">
        <v>24</v>
      </c>
      <c r="B4" s="10" t="s">
        <v>27</v>
      </c>
      <c r="C4" s="11" t="s">
        <v>27</v>
      </c>
      <c r="D4" s="11" t="s">
        <v>30</v>
      </c>
      <c r="E4" s="14" t="s">
        <v>30</v>
      </c>
      <c r="F4" s="14"/>
      <c r="G4" s="14"/>
      <c r="H4" s="14"/>
      <c r="I4" s="13"/>
      <c r="J4" s="13"/>
      <c r="K4" s="13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5" t="s">
        <v>0</v>
      </c>
      <c r="B5" s="16"/>
      <c r="C5" s="16"/>
      <c r="D5" s="18"/>
      <c r="E5" s="19"/>
      <c r="F5" s="19"/>
      <c r="G5" s="19"/>
      <c r="H5" s="19"/>
      <c r="I5" s="16"/>
      <c r="J5" s="16"/>
      <c r="K5" s="16"/>
      <c r="L5" s="1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20" t="s">
        <v>59</v>
      </c>
      <c r="C6" s="20" t="s">
        <v>54</v>
      </c>
      <c r="D6" s="20">
        <v>1.0</v>
      </c>
      <c r="E6" s="20">
        <v>2.0</v>
      </c>
    </row>
    <row r="7">
      <c r="B7" s="20" t="s">
        <v>59</v>
      </c>
      <c r="C7" s="20" t="s">
        <v>67</v>
      </c>
      <c r="D7" s="20">
        <v>2.0</v>
      </c>
      <c r="E7" s="20">
        <v>2.0</v>
      </c>
    </row>
    <row r="8">
      <c r="B8" s="20" t="s">
        <v>59</v>
      </c>
      <c r="C8" s="20" t="s">
        <v>54</v>
      </c>
      <c r="D8" s="20">
        <v>3.0</v>
      </c>
      <c r="E8" s="20">
        <v>4.0</v>
      </c>
    </row>
    <row r="9">
      <c r="B9" s="20" t="s">
        <v>59</v>
      </c>
      <c r="C9" s="20" t="s">
        <v>67</v>
      </c>
      <c r="D9" s="20">
        <v>4.0</v>
      </c>
      <c r="E9" s="20">
        <v>2.0</v>
      </c>
    </row>
    <row r="10">
      <c r="B10" s="20" t="s">
        <v>59</v>
      </c>
      <c r="C10" s="20" t="s">
        <v>54</v>
      </c>
      <c r="D10" s="20">
        <v>5.0</v>
      </c>
      <c r="E10" s="20">
        <v>4.0</v>
      </c>
    </row>
    <row r="11">
      <c r="B11" s="20" t="s">
        <v>59</v>
      </c>
      <c r="C11" s="20" t="s">
        <v>67</v>
      </c>
      <c r="D11" s="20">
        <v>6.0</v>
      </c>
      <c r="E11" s="20">
        <v>2.0</v>
      </c>
    </row>
    <row r="12">
      <c r="B12" s="20" t="s">
        <v>81</v>
      </c>
      <c r="C12" s="20" t="s">
        <v>54</v>
      </c>
      <c r="D12" s="20">
        <v>3.0</v>
      </c>
      <c r="E12" s="20">
        <v>1.0</v>
      </c>
    </row>
    <row r="13">
      <c r="B13" s="20" t="s">
        <v>81</v>
      </c>
      <c r="C13" s="20" t="s">
        <v>67</v>
      </c>
      <c r="D13" s="20">
        <v>5.0</v>
      </c>
      <c r="E13" s="20">
        <v>1.0</v>
      </c>
    </row>
    <row r="14">
      <c r="B14" s="20" t="s">
        <v>81</v>
      </c>
      <c r="C14" s="20" t="s">
        <v>75</v>
      </c>
      <c r="D14" s="20">
        <v>4.0</v>
      </c>
      <c r="E14" s="20">
        <v>1.0</v>
      </c>
    </row>
    <row r="15">
      <c r="B15" s="20" t="s">
        <v>81</v>
      </c>
      <c r="C15" s="20" t="s">
        <v>77</v>
      </c>
      <c r="D15" s="20">
        <v>6.0</v>
      </c>
      <c r="E15" s="20">
        <v>1.0</v>
      </c>
    </row>
    <row r="16">
      <c r="B16" s="20" t="s">
        <v>81</v>
      </c>
      <c r="C16" s="20" t="s">
        <v>79</v>
      </c>
      <c r="D16" s="20">
        <v>1.0</v>
      </c>
      <c r="E16" s="20">
        <v>4.0</v>
      </c>
    </row>
    <row r="17">
      <c r="B17" s="20" t="s">
        <v>81</v>
      </c>
      <c r="C17" s="20" t="s">
        <v>82</v>
      </c>
      <c r="D17" s="20">
        <v>2.0</v>
      </c>
      <c r="E17" s="20">
        <v>4.0</v>
      </c>
    </row>
    <row r="18">
      <c r="B18" s="20" t="s">
        <v>86</v>
      </c>
      <c r="C18" s="20" t="s">
        <v>79</v>
      </c>
      <c r="D18" s="20">
        <v>1.0</v>
      </c>
      <c r="E18" s="20">
        <v>4.0</v>
      </c>
    </row>
    <row r="19">
      <c r="B19" s="20" t="s">
        <v>86</v>
      </c>
      <c r="C19" s="20" t="s">
        <v>75</v>
      </c>
      <c r="D19" s="20">
        <v>4.0</v>
      </c>
      <c r="E19" s="20">
        <v>1.0</v>
      </c>
    </row>
    <row r="20">
      <c r="B20" s="20" t="s">
        <v>86</v>
      </c>
      <c r="C20" s="20" t="s">
        <v>79</v>
      </c>
      <c r="D20" s="20">
        <v>2.0</v>
      </c>
      <c r="E20" s="20">
        <v>4.0</v>
      </c>
    </row>
    <row r="21">
      <c r="B21" s="20" t="s">
        <v>86</v>
      </c>
      <c r="C21" s="20" t="s">
        <v>75</v>
      </c>
      <c r="D21" s="20">
        <v>3.0</v>
      </c>
      <c r="E21" s="20">
        <v>2.0</v>
      </c>
    </row>
    <row r="22">
      <c r="B22" s="20" t="s">
        <v>86</v>
      </c>
      <c r="C22" s="20" t="s">
        <v>79</v>
      </c>
      <c r="D22" s="20">
        <v>5.0</v>
      </c>
      <c r="E22" s="20">
        <v>4.0</v>
      </c>
    </row>
    <row r="23">
      <c r="B23" s="20" t="s">
        <v>86</v>
      </c>
      <c r="C23" s="20" t="s">
        <v>75</v>
      </c>
      <c r="D23" s="20">
        <v>6.0</v>
      </c>
      <c r="E23" s="20">
        <v>2.0</v>
      </c>
    </row>
    <row r="24">
      <c r="B24" s="20" t="s">
        <v>86</v>
      </c>
      <c r="C24" s="20" t="s">
        <v>79</v>
      </c>
      <c r="D24" s="20">
        <v>7.0</v>
      </c>
      <c r="E24" s="20">
        <v>4.0</v>
      </c>
    </row>
    <row r="25">
      <c r="B25" s="20" t="s">
        <v>86</v>
      </c>
      <c r="C25" s="20" t="s">
        <v>75</v>
      </c>
      <c r="D25" s="20">
        <v>8.0</v>
      </c>
      <c r="E25" s="20">
        <v>2.0</v>
      </c>
    </row>
    <row r="26">
      <c r="B26" s="20" t="s">
        <v>86</v>
      </c>
      <c r="C26" s="20" t="s">
        <v>79</v>
      </c>
      <c r="D26" s="20">
        <v>9.0</v>
      </c>
      <c r="E26" s="20">
        <v>4.0</v>
      </c>
    </row>
    <row r="27">
      <c r="B27" s="20" t="s">
        <v>86</v>
      </c>
      <c r="C27" s="20" t="s">
        <v>75</v>
      </c>
      <c r="D27" s="20">
        <v>10.0</v>
      </c>
      <c r="E27" s="20">
        <v>2.0</v>
      </c>
    </row>
    <row r="28">
      <c r="B28" s="20" t="s">
        <v>92</v>
      </c>
      <c r="C28" s="20" t="s">
        <v>83</v>
      </c>
      <c r="D28" s="20">
        <v>1.0</v>
      </c>
      <c r="E28" s="20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</v>
      </c>
      <c r="B1" s="6" t="s">
        <v>108</v>
      </c>
      <c r="C1" s="7" t="s">
        <v>109</v>
      </c>
      <c r="D1" s="7"/>
      <c r="E1" s="7"/>
      <c r="F1" s="8"/>
      <c r="G1" s="8"/>
      <c r="H1" s="8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9" t="s">
        <v>24</v>
      </c>
      <c r="B2" s="10" t="s">
        <v>27</v>
      </c>
      <c r="C2" s="11" t="s">
        <v>28</v>
      </c>
      <c r="D2" s="11"/>
      <c r="E2" s="14"/>
      <c r="F2" s="14"/>
      <c r="G2" s="14"/>
      <c r="H2" s="14"/>
      <c r="I2" s="13"/>
      <c r="J2" s="13"/>
      <c r="K2" s="13"/>
      <c r="L2" s="1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5" t="s">
        <v>0</v>
      </c>
      <c r="B3" s="16"/>
      <c r="C3" s="16"/>
      <c r="D3" s="18"/>
      <c r="E3" s="19"/>
      <c r="F3" s="19"/>
      <c r="G3" s="19"/>
      <c r="H3" s="19"/>
      <c r="I3" s="16"/>
      <c r="J3" s="16"/>
      <c r="K3" s="16"/>
      <c r="L3" s="1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22" t="s">
        <v>58</v>
      </c>
      <c r="C4" s="20">
        <v>0.2</v>
      </c>
    </row>
    <row r="5">
      <c r="B5" s="22" t="s">
        <v>87</v>
      </c>
      <c r="C5" s="20">
        <v>0.2</v>
      </c>
    </row>
    <row r="6">
      <c r="B6" s="22" t="s">
        <v>93</v>
      </c>
      <c r="C6" s="20">
        <v>0.2</v>
      </c>
    </row>
    <row r="7">
      <c r="B7" s="22" t="s">
        <v>98</v>
      </c>
      <c r="C7" s="20">
        <v>0.2</v>
      </c>
    </row>
    <row r="8">
      <c r="B8" s="22" t="s">
        <v>103</v>
      </c>
      <c r="C8" s="20">
        <v>0.2</v>
      </c>
    </row>
  </sheetData>
  <drawing r:id="rId1"/>
</worksheet>
</file>